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DT" sheetId="1" state="visible" r:id="rId3"/>
    <sheet name="Costos Fas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6" authorId="0">
      <text>
        <r>
          <rPr>
            <sz val="10"/>
            <rFont val="Arial"/>
            <family val="2"/>
          </rPr>
          <t xml:space="preserve">======
ID#AAACGKDXepk
Sandra orfilia Olea Jara    (2026-08-28 00:06:31)
eliminar</t>
        </r>
      </text>
    </comment>
  </commentList>
</comments>
</file>

<file path=xl/sharedStrings.xml><?xml version="1.0" encoding="utf-8"?>
<sst xmlns="http://schemas.openxmlformats.org/spreadsheetml/2006/main" count="241" uniqueCount="109">
  <si>
    <t xml:space="preserve">Matriz Estructura de descomposición de tareas EDT</t>
  </si>
  <si>
    <t xml:space="preserve">Etapas</t>
  </si>
  <si>
    <t xml:space="preserve">DIAS</t>
  </si>
  <si>
    <t xml:space="preserve">HORAS POR ACTIVIDAD O ENTREGABLE</t>
  </si>
  <si>
    <t xml:space="preserve">DICCIONARIO EDT</t>
  </si>
  <si>
    <t xml:space="preserve">Fase de Planificación</t>
  </si>
  <si>
    <t xml:space="preserve">Jefe de Proyecto</t>
  </si>
  <si>
    <t xml:space="preserve">Analista Programador</t>
  </si>
  <si>
    <t xml:space="preserve">DBA</t>
  </si>
  <si>
    <t xml:space="preserve">QA</t>
  </si>
  <si>
    <t xml:space="preserve">Diseñador</t>
  </si>
  <si>
    <t xml:space="preserve">ROL ACTOR</t>
  </si>
  <si>
    <t xml:space="preserve">NOMBRE ACTOR</t>
  </si>
  <si>
    <t xml:space="preserve">Acta de Constitución de proyecto</t>
  </si>
  <si>
    <t xml:space="preserve">Melisa Quezada</t>
  </si>
  <si>
    <t xml:space="preserve">Aprobación del Acta</t>
  </si>
  <si>
    <t xml:space="preserve">Erick Paredes / Daniel Lizama</t>
  </si>
  <si>
    <t xml:space="preserve">Definición de requerimientos Generales</t>
  </si>
  <si>
    <t xml:space="preserve">José Miguel Ruíz</t>
  </si>
  <si>
    <t xml:space="preserve">Organización del equipo</t>
  </si>
  <si>
    <t xml:space="preserve">Cristian Bernal</t>
  </si>
  <si>
    <t xml:space="preserve">Fernanda Aliaga</t>
  </si>
  <si>
    <t xml:space="preserve">Fase de Análisis y diseño</t>
  </si>
  <si>
    <t xml:space="preserve">Captura de requerimientos específicos</t>
  </si>
  <si>
    <t xml:space="preserve">Documento de arquitectura SW</t>
  </si>
  <si>
    <t xml:space="preserve">Documento de casos de uso</t>
  </si>
  <si>
    <t xml:space="preserve">Prototipos</t>
  </si>
  <si>
    <t xml:space="preserve">Propuesta ERS</t>
  </si>
  <si>
    <t xml:space="preserve">Fase de Desarrollo</t>
  </si>
  <si>
    <t xml:space="preserve">Implementación ambiente de desarrollo</t>
  </si>
  <si>
    <t xml:space="preserve">Creación de los script de tablas base de datos</t>
  </si>
  <si>
    <t xml:space="preserve">Creación de los script de consultas y funciones PL/pgSQL</t>
  </si>
  <si>
    <t xml:space="preserve">Módulo de Autenticación y Seguridad</t>
  </si>
  <si>
    <t xml:space="preserve">Login, registro y recuperación de contraseña</t>
  </si>
  <si>
    <t xml:space="preserve">Administración de roles y permisos</t>
  </si>
  <si>
    <t xml:space="preserve">Módulo de Configuración del Negocio</t>
  </si>
  <si>
    <t xml:space="preserve">Perfil del negocio y página pública de reservas</t>
  </si>
  <si>
    <t xml:space="preserve">Catálogo de servicios y atributos parametrizables</t>
  </si>
  <si>
    <t xml:space="preserve">Administración de recursos y horarios de atención</t>
  </si>
  <si>
    <t xml:space="preserve">Módulo de Agenda y Reservas</t>
  </si>
  <si>
    <t xml:space="preserve">Motor de disponibilidad multi-recurso</t>
  </si>
  <si>
    <t xml:space="preserve">Gestión de citas: crear, cancelar y reagendar</t>
  </si>
  <si>
    <t xml:space="preserve">Vista de calendario por recurso</t>
  </si>
  <si>
    <t xml:space="preserve">Ficha e historial del cliente</t>
  </si>
  <si>
    <t xml:space="preserve">Módulo Portal del Cliente</t>
  </si>
  <si>
    <t xml:space="preserve">Reserva desde la página pública</t>
  </si>
  <si>
    <t xml:space="preserve">Mis servicios agendados y mi calendario</t>
  </si>
  <si>
    <t xml:space="preserve">Integración con pasarela de pagos</t>
  </si>
  <si>
    <t xml:space="preserve">Módulo de Inventario e Insumos</t>
  </si>
  <si>
    <t xml:space="preserve">Administración de insumos y proveedores</t>
  </si>
  <si>
    <t xml:space="preserve">Consumo automático de insumos por servicio</t>
  </si>
  <si>
    <t xml:space="preserve">Módulo de Notificaciones</t>
  </si>
  <si>
    <t xml:space="preserve">Recordatorios automáticos de citas</t>
  </si>
  <si>
    <t xml:space="preserve">Alertas de stock bajo el mínimo</t>
  </si>
  <si>
    <t xml:space="preserve">Módulo de Finanzas y Ficha de Cliente</t>
  </si>
  <si>
    <t xml:space="preserve">Registro de ingresos y egresos</t>
  </si>
  <si>
    <t xml:space="preserve">Módulo del Administrador</t>
  </si>
  <si>
    <t xml:space="preserve">Administrar Perfiles</t>
  </si>
  <si>
    <t xml:space="preserve">Administrar Credenciales</t>
  </si>
  <si>
    <t xml:space="preserve">Módulo de Reportes</t>
  </si>
  <si>
    <t xml:space="preserve">Reportes de ocupación de agenda</t>
  </si>
  <si>
    <t xml:space="preserve">Reportes de ingresos y egresos por período</t>
  </si>
  <si>
    <t xml:space="preserve">Reportes de consumo de insumos</t>
  </si>
  <si>
    <t xml:space="preserve">Fase de Pruebas y QA</t>
  </si>
  <si>
    <t xml:space="preserve">Implementación ambiente de pruebas</t>
  </si>
  <si>
    <t xml:space="preserve">Pruebas Funcionales</t>
  </si>
  <si>
    <t xml:space="preserve">Pruebas con Usuarios</t>
  </si>
  <si>
    <t xml:space="preserve">Fase de implementación y cierre</t>
  </si>
  <si>
    <t xml:space="preserve">Migración del sistema a producción</t>
  </si>
  <si>
    <t xml:space="preserve">Capacitaciones</t>
  </si>
  <si>
    <t xml:space="preserve">Manuales Usuario</t>
  </si>
  <si>
    <t xml:space="preserve">Acta cierre de proyecto</t>
  </si>
  <si>
    <t xml:space="preserve">SIGLA</t>
  </si>
  <si>
    <t xml:space="preserve">ROL</t>
  </si>
  <si>
    <t xml:space="preserve">NOMBRE</t>
  </si>
  <si>
    <t xml:space="preserve">VALOR HORA HH</t>
  </si>
  <si>
    <t xml:space="preserve">HORAS</t>
  </si>
  <si>
    <t xml:space="preserve">FASE PLANIFICACION</t>
  </si>
  <si>
    <t xml:space="preserve">COSTO POR HORA</t>
  </si>
  <si>
    <t xml:space="preserve">JP</t>
  </si>
  <si>
    <t xml:space="preserve">COSTO x HORA</t>
  </si>
  <si>
    <t xml:space="preserve">Sueldo mes</t>
  </si>
  <si>
    <t xml:space="preserve">AP</t>
  </si>
  <si>
    <t xml:space="preserve">Desarrollador BD</t>
  </si>
  <si>
    <t xml:space="preserve">Calidad Y Testing</t>
  </si>
  <si>
    <t xml:space="preserve">Administrador BD</t>
  </si>
  <si>
    <t xml:space="preserve">DI</t>
  </si>
  <si>
    <t xml:space="preserve">TOTAL FASE PLANIFICACION</t>
  </si>
  <si>
    <t xml:space="preserve">Fuente sueldos: mercado TI Chile 2026 (IT Workers / Indeed)</t>
  </si>
  <si>
    <t xml:space="preserve">Horas mes (jornada legal 42 h/sem, Ley 21.561)</t>
  </si>
  <si>
    <t xml:space="preserve">VALOR HORA HH </t>
  </si>
  <si>
    <t xml:space="preserve">FASE DISEÑO</t>
  </si>
  <si>
    <t xml:space="preserve">COSTO HH POR ROL</t>
  </si>
  <si>
    <t xml:space="preserve">TOTAL FASE DISEÑO</t>
  </si>
  <si>
    <t xml:space="preserve">TOTAL HH</t>
  </si>
  <si>
    <t xml:space="preserve">FASE DESARROLLO</t>
  </si>
  <si>
    <t xml:space="preserve">COSTO POR FASE</t>
  </si>
  <si>
    <t xml:space="preserve">Fase de Análisis y Diseño</t>
  </si>
  <si>
    <t xml:space="preserve">Fase de QA</t>
  </si>
  <si>
    <t xml:space="preserve">Fase de Implementación y Cierre</t>
  </si>
  <si>
    <t xml:space="preserve">TOTAL FASE DESARROLLO</t>
  </si>
  <si>
    <t xml:space="preserve">TOTAL HH FASES</t>
  </si>
  <si>
    <t xml:space="preserve">FASE PRUEBAS QA</t>
  </si>
  <si>
    <t xml:space="preserve">Margen </t>
  </si>
  <si>
    <t xml:space="preserve">UTILIDAD</t>
  </si>
  <si>
    <t xml:space="preserve">PRECIO FINAL</t>
  </si>
  <si>
    <t xml:space="preserve">TOTAL FASE PRUEBAS QA</t>
  </si>
  <si>
    <t xml:space="preserve">FASE IMPLEMENTACION Y CIERRE</t>
  </si>
  <si>
    <t xml:space="preserve">TOTAL FASE IMPLEMENTACION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</si>
</sst>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_ ;\-0\ "/>
    <numFmt numFmtId="166" formatCode="_ \$* #,##0_ ;_ \$* \-#,##0_ ;_ \$* \-_ ;_ @_ "/>
    <numFmt numFmtId="167" formatCode="0%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0"/>
      <charset val="1"/>
    </font>
    <font>
      <sz val="11"/>
      <color rgb="FF000000"/>
      <name val="Calibri"/>
      <family val="0"/>
      <charset val="1"/>
    </font>
    <font>
      <sz val="10"/>
      <name val="Arial"/>
      <family val="2"/>
    </font>
    <font>
      <b val="true"/>
      <sz val="12"/>
      <color theme="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ADB9CA"/>
        <bgColor rgb="FFBFBFBF"/>
      </patternFill>
    </fill>
    <fill>
      <patternFill patternType="solid">
        <fgColor rgb="FFBFBFBF"/>
        <bgColor rgb="FFADB9CA"/>
      </patternFill>
    </fill>
    <fill>
      <patternFill patternType="solid">
        <fgColor rgb="FFFFFFFF"/>
        <bgColor rgb="FFF2F2F2"/>
      </patternFill>
    </fill>
    <fill>
      <patternFill patternType="solid">
        <fgColor rgb="FFFF0000"/>
        <bgColor rgb="FF993300"/>
      </patternFill>
    </fill>
    <fill>
      <patternFill patternType="solid">
        <fgColor rgb="FFF2F2F2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B9CA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1" outlineLevelCol="0"/>
  <cols>
    <col collapsed="false" customWidth="true" hidden="false" outlineLevel="0" max="1" min="1" style="1" width="49.43"/>
    <col collapsed="false" customWidth="true" hidden="false" outlineLevel="0" max="2" min="2" style="1" width="7.43"/>
    <col collapsed="false" customWidth="true" hidden="false" outlineLevel="0" max="3" min="3" style="1" width="10.71"/>
    <col collapsed="false" customWidth="true" hidden="false" outlineLevel="0" max="4" min="4" style="1" width="12.86"/>
    <col collapsed="false" customWidth="true" hidden="false" outlineLevel="0" max="5" min="5" style="1" width="9.14"/>
    <col collapsed="false" customWidth="true" hidden="false" outlineLevel="0" max="6" min="6" style="1" width="8.15"/>
    <col collapsed="false" customWidth="true" hidden="false" outlineLevel="0" max="7" min="7" style="1" width="12"/>
    <col collapsed="false" customWidth="true" hidden="false" outlineLevel="0" max="8" min="8" style="1" width="5"/>
    <col collapsed="false" customWidth="true" hidden="false" outlineLevel="0" max="9" min="9" style="1" width="23.29"/>
    <col collapsed="false" customWidth="true" hidden="false" outlineLevel="0" max="10" min="10" style="1" width="29.71"/>
    <col collapsed="false" customWidth="true" hidden="false" outlineLevel="0" max="26" min="11" style="1" width="10.71"/>
  </cols>
  <sheetData>
    <row r="1" customFormat="false" ht="14.25" hidden="false" customHeight="true" outlineLevel="0" collapsed="false"/>
    <row r="2" customFormat="false" ht="18" hidden="false" customHeight="true" outlineLevel="0" collapsed="false">
      <c r="A2" s="2" t="s">
        <v>0</v>
      </c>
      <c r="B2" s="2"/>
      <c r="C2" s="2"/>
      <c r="D2" s="2"/>
    </row>
    <row r="3" customFormat="false" ht="14.25" hidden="false" customHeight="true" outlineLevel="0" collapsed="false"/>
    <row r="4" customFormat="false" ht="14.25" hidden="false" customHeight="true" outlineLevel="0" collapsed="false">
      <c r="A4" s="3" t="s">
        <v>1</v>
      </c>
      <c r="B4" s="4" t="s">
        <v>2</v>
      </c>
      <c r="C4" s="4" t="s">
        <v>3</v>
      </c>
      <c r="D4" s="4"/>
      <c r="E4" s="4"/>
      <c r="F4" s="4"/>
      <c r="G4" s="4"/>
      <c r="I4" s="4" t="s">
        <v>4</v>
      </c>
      <c r="J4" s="4"/>
    </row>
    <row r="5" customFormat="false" ht="28.5" hidden="false" customHeight="true" outlineLevel="0" collapsed="false">
      <c r="A5" s="5" t="s">
        <v>5</v>
      </c>
      <c r="B5" s="6"/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I5" s="8" t="s">
        <v>11</v>
      </c>
      <c r="J5" s="8" t="s">
        <v>12</v>
      </c>
    </row>
    <row r="6" customFormat="false" ht="14.25" hidden="false" customHeight="true" outlineLevel="1" collapsed="false">
      <c r="A6" s="9" t="s">
        <v>13</v>
      </c>
      <c r="B6" s="3" t="n">
        <v>5</v>
      </c>
      <c r="C6" s="4" t="n">
        <v>16</v>
      </c>
      <c r="D6" s="4" t="n">
        <v>4</v>
      </c>
      <c r="E6" s="10" t="n">
        <v>2</v>
      </c>
      <c r="F6" s="10" t="n">
        <v>2</v>
      </c>
      <c r="G6" s="10" t="n">
        <v>2</v>
      </c>
      <c r="I6" s="3" t="s">
        <v>6</v>
      </c>
      <c r="J6" s="3" t="s">
        <v>14</v>
      </c>
    </row>
    <row r="7" customFormat="false" ht="14.25" hidden="false" customHeight="true" outlineLevel="1" collapsed="false">
      <c r="A7" s="9" t="s">
        <v>15</v>
      </c>
      <c r="B7" s="3" t="n">
        <v>2</v>
      </c>
      <c r="C7" s="4" t="n">
        <v>4</v>
      </c>
      <c r="D7" s="4" t="n">
        <v>1</v>
      </c>
      <c r="E7" s="10" t="n">
        <v>1</v>
      </c>
      <c r="F7" s="10" t="n">
        <v>1</v>
      </c>
      <c r="G7" s="10" t="n">
        <v>1</v>
      </c>
      <c r="I7" s="3" t="s">
        <v>7</v>
      </c>
      <c r="J7" s="11" t="s">
        <v>16</v>
      </c>
    </row>
    <row r="8" customFormat="false" ht="14.25" hidden="false" customHeight="true" outlineLevel="1" collapsed="false">
      <c r="A8" s="9" t="s">
        <v>17</v>
      </c>
      <c r="B8" s="3" t="n">
        <v>5</v>
      </c>
      <c r="C8" s="4" t="n">
        <v>12</v>
      </c>
      <c r="D8" s="4" t="n">
        <v>10</v>
      </c>
      <c r="E8" s="10" t="n">
        <v>4</v>
      </c>
      <c r="F8" s="10" t="n">
        <v>6</v>
      </c>
      <c r="G8" s="10" t="n">
        <v>4</v>
      </c>
      <c r="I8" s="3" t="s">
        <v>8</v>
      </c>
      <c r="J8" s="3" t="s">
        <v>18</v>
      </c>
    </row>
    <row r="9" customFormat="false" ht="14.25" hidden="false" customHeight="true" outlineLevel="1" collapsed="false">
      <c r="A9" s="9" t="s">
        <v>19</v>
      </c>
      <c r="B9" s="3" t="n">
        <v>2</v>
      </c>
      <c r="C9" s="4" t="n">
        <v>6</v>
      </c>
      <c r="D9" s="4" t="n">
        <v>2</v>
      </c>
      <c r="E9" s="10" t="n">
        <v>2</v>
      </c>
      <c r="F9" s="10" t="n">
        <v>2</v>
      </c>
      <c r="G9" s="10" t="n">
        <v>2</v>
      </c>
      <c r="I9" s="3" t="s">
        <v>9</v>
      </c>
      <c r="J9" s="3" t="s">
        <v>20</v>
      </c>
    </row>
    <row r="10" customFormat="false" ht="14.25" hidden="false" customHeight="true" outlineLevel="1" collapsed="false">
      <c r="A10" s="3"/>
      <c r="B10" s="3"/>
      <c r="C10" s="4"/>
      <c r="D10" s="4"/>
      <c r="E10" s="4"/>
      <c r="F10" s="4"/>
      <c r="G10" s="4"/>
      <c r="I10" s="3" t="s">
        <v>10</v>
      </c>
      <c r="J10" s="3" t="s">
        <v>21</v>
      </c>
    </row>
    <row r="11" customFormat="false" ht="28.5" hidden="false" customHeight="true" outlineLevel="0" collapsed="false">
      <c r="A11" s="6" t="s">
        <v>22</v>
      </c>
      <c r="B11" s="6"/>
      <c r="C11" s="7" t="s">
        <v>6</v>
      </c>
      <c r="D11" s="7" t="s">
        <v>7</v>
      </c>
      <c r="E11" s="7" t="s">
        <v>8</v>
      </c>
      <c r="F11" s="7" t="s">
        <v>9</v>
      </c>
      <c r="G11" s="7" t="s">
        <v>10</v>
      </c>
    </row>
    <row r="12" customFormat="false" ht="14.25" hidden="false" customHeight="true" outlineLevel="1" collapsed="false">
      <c r="A12" s="9" t="s">
        <v>23</v>
      </c>
      <c r="B12" s="3" t="n">
        <v>6</v>
      </c>
      <c r="C12" s="4" t="n">
        <v>12</v>
      </c>
      <c r="D12" s="4" t="n">
        <v>16</v>
      </c>
      <c r="E12" s="10" t="n">
        <v>8</v>
      </c>
      <c r="F12" s="10" t="n">
        <v>8</v>
      </c>
      <c r="G12" s="10" t="n">
        <v>8</v>
      </c>
    </row>
    <row r="13" customFormat="false" ht="14.25" hidden="false" customHeight="true" outlineLevel="1" collapsed="false">
      <c r="A13" s="12" t="s">
        <v>24</v>
      </c>
      <c r="B13" s="3" t="n">
        <v>5</v>
      </c>
      <c r="C13" s="4" t="n">
        <v>0</v>
      </c>
      <c r="D13" s="4" t="n">
        <v>0</v>
      </c>
      <c r="E13" s="4" t="n">
        <v>32</v>
      </c>
      <c r="F13" s="10" t="n">
        <v>14</v>
      </c>
      <c r="G13" s="10" t="n">
        <v>0</v>
      </c>
    </row>
    <row r="14" customFormat="false" ht="14.25" hidden="false" customHeight="true" outlineLevel="1" collapsed="false">
      <c r="A14" s="9" t="s">
        <v>25</v>
      </c>
      <c r="B14" s="3" t="n">
        <v>5</v>
      </c>
      <c r="C14" s="4" t="n">
        <v>8</v>
      </c>
      <c r="D14" s="4" t="n">
        <v>16</v>
      </c>
      <c r="E14" s="4" t="n">
        <v>4</v>
      </c>
      <c r="F14" s="10" t="n">
        <v>10</v>
      </c>
      <c r="G14" s="10" t="n">
        <v>4</v>
      </c>
    </row>
    <row r="15" customFormat="false" ht="14.25" hidden="false" customHeight="true" outlineLevel="1" collapsed="false">
      <c r="A15" s="9" t="s">
        <v>26</v>
      </c>
      <c r="B15" s="3" t="n">
        <v>8</v>
      </c>
      <c r="C15" s="4" t="n">
        <v>18</v>
      </c>
      <c r="D15" s="4" t="n">
        <v>28</v>
      </c>
      <c r="E15" s="4" t="n">
        <v>0</v>
      </c>
      <c r="F15" s="10" t="n">
        <v>0</v>
      </c>
      <c r="G15" s="4" t="n">
        <v>0</v>
      </c>
    </row>
    <row r="16" customFormat="false" ht="14.25" hidden="false" customHeight="true" outlineLevel="1" collapsed="false">
      <c r="A16" s="9" t="s">
        <v>27</v>
      </c>
      <c r="B16" s="3" t="n">
        <v>5</v>
      </c>
      <c r="C16" s="4" t="n">
        <v>14</v>
      </c>
      <c r="D16" s="4" t="n">
        <v>10</v>
      </c>
      <c r="E16" s="4" t="n">
        <v>6</v>
      </c>
      <c r="F16" s="10" t="n">
        <v>6</v>
      </c>
      <c r="G16" s="10" t="n">
        <v>4</v>
      </c>
    </row>
    <row r="17" customFormat="false" ht="14.25" hidden="false" customHeight="true" outlineLevel="1" collapsed="false">
      <c r="A17" s="3"/>
      <c r="B17" s="3"/>
      <c r="C17" s="4"/>
      <c r="D17" s="4"/>
      <c r="E17" s="4"/>
      <c r="F17" s="4"/>
      <c r="G17" s="4"/>
    </row>
    <row r="18" customFormat="false" ht="28.5" hidden="false" customHeight="true" outlineLevel="0" collapsed="false">
      <c r="A18" s="6" t="s">
        <v>28</v>
      </c>
      <c r="B18" s="6"/>
      <c r="C18" s="7" t="s">
        <v>6</v>
      </c>
      <c r="D18" s="7" t="s">
        <v>7</v>
      </c>
      <c r="E18" s="7" t="s">
        <v>8</v>
      </c>
      <c r="F18" s="7" t="s">
        <v>9</v>
      </c>
      <c r="G18" s="7" t="s">
        <v>10</v>
      </c>
    </row>
    <row r="19" customFormat="false" ht="18" hidden="false" customHeight="true" outlineLevel="1" collapsed="false">
      <c r="A19" s="9" t="s">
        <v>29</v>
      </c>
      <c r="B19" s="3" t="n">
        <v>3</v>
      </c>
      <c r="C19" s="4" t="n">
        <v>2</v>
      </c>
      <c r="D19" s="4" t="n">
        <v>12</v>
      </c>
      <c r="E19" s="4" t="n">
        <v>6</v>
      </c>
      <c r="F19" s="4" t="n">
        <v>4</v>
      </c>
      <c r="G19" s="4" t="n">
        <v>0</v>
      </c>
    </row>
    <row r="20" customFormat="false" ht="18" hidden="false" customHeight="true" outlineLevel="1" collapsed="false">
      <c r="A20" s="9" t="s">
        <v>30</v>
      </c>
      <c r="B20" s="3" t="n">
        <v>5</v>
      </c>
      <c r="C20" s="4" t="n">
        <v>2</v>
      </c>
      <c r="D20" s="4" t="n">
        <v>6</v>
      </c>
      <c r="E20" s="4" t="n">
        <v>28</v>
      </c>
      <c r="F20" s="4" t="n">
        <v>2</v>
      </c>
      <c r="G20" s="4" t="n">
        <v>0</v>
      </c>
    </row>
    <row r="21" customFormat="false" ht="18" hidden="false" customHeight="true" outlineLevel="1" collapsed="false">
      <c r="A21" s="9" t="s">
        <v>31</v>
      </c>
      <c r="B21" s="3" t="n">
        <v>5</v>
      </c>
      <c r="C21" s="4" t="n">
        <v>2</v>
      </c>
      <c r="D21" s="4" t="n">
        <v>8</v>
      </c>
      <c r="E21" s="4" t="n">
        <v>24</v>
      </c>
      <c r="F21" s="4" t="n">
        <v>4</v>
      </c>
      <c r="G21" s="4" t="n">
        <v>0</v>
      </c>
    </row>
    <row r="22" customFormat="false" ht="18" hidden="false" customHeight="true" outlineLevel="1" collapsed="false">
      <c r="A22" s="13" t="s">
        <v>32</v>
      </c>
      <c r="B22" s="3"/>
      <c r="C22" s="4"/>
      <c r="D22" s="4"/>
      <c r="E22" s="4"/>
      <c r="F22" s="4"/>
      <c r="G22" s="4"/>
    </row>
    <row r="23" customFormat="false" ht="18" hidden="false" customHeight="true" outlineLevel="1" collapsed="false">
      <c r="A23" s="14" t="s">
        <v>33</v>
      </c>
      <c r="B23" s="3" t="n">
        <v>4</v>
      </c>
      <c r="C23" s="4" t="n">
        <v>1</v>
      </c>
      <c r="D23" s="4" t="n">
        <v>20</v>
      </c>
      <c r="E23" s="4" t="n">
        <v>4</v>
      </c>
      <c r="F23" s="4" t="n">
        <v>6</v>
      </c>
      <c r="G23" s="4" t="n">
        <v>4</v>
      </c>
    </row>
    <row r="24" customFormat="false" ht="18" hidden="false" customHeight="true" outlineLevel="1" collapsed="false">
      <c r="A24" s="14" t="s">
        <v>34</v>
      </c>
      <c r="B24" s="3" t="n">
        <v>4</v>
      </c>
      <c r="C24" s="4" t="n">
        <v>1</v>
      </c>
      <c r="D24" s="4" t="n">
        <v>18</v>
      </c>
      <c r="E24" s="4" t="n">
        <v>4</v>
      </c>
      <c r="F24" s="4" t="n">
        <v>6</v>
      </c>
      <c r="G24" s="4" t="n">
        <v>3</v>
      </c>
    </row>
    <row r="25" customFormat="false" ht="18" hidden="false" customHeight="true" outlineLevel="1" collapsed="false">
      <c r="A25" s="13"/>
      <c r="B25" s="3"/>
      <c r="C25" s="4"/>
      <c r="D25" s="4"/>
      <c r="E25" s="4"/>
      <c r="F25" s="4"/>
      <c r="G25" s="4"/>
    </row>
    <row r="26" customFormat="false" ht="18" hidden="false" customHeight="true" outlineLevel="1" collapsed="false">
      <c r="A26" s="14" t="s">
        <v>35</v>
      </c>
      <c r="B26" s="3"/>
      <c r="C26" s="4"/>
      <c r="D26" s="4"/>
      <c r="E26" s="4"/>
      <c r="F26" s="4"/>
      <c r="G26" s="4"/>
    </row>
    <row r="27" customFormat="false" ht="18" hidden="false" customHeight="true" outlineLevel="1" collapsed="false">
      <c r="A27" s="14" t="s">
        <v>36</v>
      </c>
      <c r="B27" s="3" t="n">
        <v>3</v>
      </c>
      <c r="C27" s="4" t="n">
        <v>1</v>
      </c>
      <c r="D27" s="4" t="n">
        <v>14</v>
      </c>
      <c r="E27" s="4" t="n">
        <v>3</v>
      </c>
      <c r="F27" s="4" t="n">
        <v>4</v>
      </c>
      <c r="G27" s="4" t="n">
        <v>8</v>
      </c>
    </row>
    <row r="28" customFormat="false" ht="18" hidden="false" customHeight="true" outlineLevel="1" collapsed="false">
      <c r="A28" s="14" t="s">
        <v>37</v>
      </c>
      <c r="B28" s="3" t="n">
        <v>6</v>
      </c>
      <c r="C28" s="4" t="n">
        <v>2</v>
      </c>
      <c r="D28" s="4" t="n">
        <v>28</v>
      </c>
      <c r="E28" s="4" t="n">
        <v>8</v>
      </c>
      <c r="F28" s="4" t="n">
        <v>8</v>
      </c>
      <c r="G28" s="4" t="n">
        <v>6</v>
      </c>
    </row>
    <row r="29" customFormat="false" ht="18" hidden="false" customHeight="true" outlineLevel="1" collapsed="false">
      <c r="A29" s="13" t="s">
        <v>38</v>
      </c>
      <c r="B29" s="3" t="n">
        <v>5</v>
      </c>
      <c r="C29" s="4" t="n">
        <v>1</v>
      </c>
      <c r="D29" s="4" t="n">
        <v>22</v>
      </c>
      <c r="E29" s="4" t="n">
        <v>6</v>
      </c>
      <c r="F29" s="4" t="n">
        <v>6</v>
      </c>
      <c r="G29" s="4" t="n">
        <v>5</v>
      </c>
    </row>
    <row r="30" customFormat="false" ht="18" hidden="false" customHeight="true" outlineLevel="1" collapsed="false">
      <c r="A30" s="14"/>
      <c r="B30" s="3"/>
      <c r="C30" s="4"/>
      <c r="D30" s="4"/>
      <c r="E30" s="4"/>
      <c r="F30" s="4"/>
      <c r="G30" s="4"/>
    </row>
    <row r="31" customFormat="false" ht="18" hidden="false" customHeight="true" outlineLevel="1" collapsed="false">
      <c r="A31" s="14" t="s">
        <v>39</v>
      </c>
      <c r="B31" s="3"/>
      <c r="C31" s="4"/>
      <c r="D31" s="4"/>
      <c r="E31" s="4"/>
      <c r="F31" s="4"/>
      <c r="G31" s="4"/>
    </row>
    <row r="32" customFormat="false" ht="18" hidden="false" customHeight="true" outlineLevel="1" collapsed="false">
      <c r="A32" s="14" t="s">
        <v>40</v>
      </c>
      <c r="B32" s="3" t="n">
        <v>8</v>
      </c>
      <c r="C32" s="4" t="n">
        <v>2</v>
      </c>
      <c r="D32" s="4" t="n">
        <v>40</v>
      </c>
      <c r="E32" s="4" t="n">
        <v>12</v>
      </c>
      <c r="F32" s="4" t="n">
        <v>12</v>
      </c>
      <c r="G32" s="4" t="n">
        <v>2</v>
      </c>
    </row>
    <row r="33" customFormat="false" ht="18" hidden="false" customHeight="true" outlineLevel="1" collapsed="false">
      <c r="A33" s="13" t="s">
        <v>41</v>
      </c>
      <c r="B33" s="3" t="n">
        <v>6</v>
      </c>
      <c r="C33" s="4" t="n">
        <v>2</v>
      </c>
      <c r="D33" s="4" t="n">
        <v>26</v>
      </c>
      <c r="E33" s="4" t="n">
        <v>6</v>
      </c>
      <c r="F33" s="4" t="n">
        <v>10</v>
      </c>
      <c r="G33" s="4" t="n">
        <v>4</v>
      </c>
    </row>
    <row r="34" customFormat="false" ht="18" hidden="false" customHeight="true" outlineLevel="1" collapsed="false">
      <c r="A34" s="14" t="s">
        <v>42</v>
      </c>
      <c r="B34" s="3" t="n">
        <v>5</v>
      </c>
      <c r="C34" s="4" t="n">
        <v>1</v>
      </c>
      <c r="D34" s="4" t="n">
        <v>20</v>
      </c>
      <c r="E34" s="4" t="n">
        <v>3</v>
      </c>
      <c r="F34" s="4" t="n">
        <v>6</v>
      </c>
      <c r="G34" s="4" t="n">
        <v>10</v>
      </c>
    </row>
    <row r="35" customFormat="false" ht="18" hidden="false" customHeight="true" outlineLevel="1" collapsed="false">
      <c r="A35" s="14" t="s">
        <v>43</v>
      </c>
      <c r="B35" s="3" t="n">
        <v>4</v>
      </c>
      <c r="C35" s="4" t="n">
        <v>1</v>
      </c>
      <c r="D35" s="4" t="n">
        <v>16</v>
      </c>
      <c r="E35" s="4" t="n">
        <v>5</v>
      </c>
      <c r="F35" s="4" t="n">
        <v>5</v>
      </c>
      <c r="G35" s="4" t="n">
        <v>3</v>
      </c>
    </row>
    <row r="36" customFormat="false" ht="18" hidden="false" customHeight="true" outlineLevel="1" collapsed="false">
      <c r="A36" s="14"/>
      <c r="B36" s="3"/>
      <c r="C36" s="4"/>
      <c r="D36" s="4"/>
      <c r="E36" s="4"/>
      <c r="F36" s="4"/>
      <c r="G36" s="4"/>
    </row>
    <row r="37" customFormat="false" ht="18" hidden="false" customHeight="true" outlineLevel="1" collapsed="false">
      <c r="A37" s="14" t="s">
        <v>44</v>
      </c>
      <c r="B37" s="3"/>
      <c r="C37" s="4"/>
      <c r="D37" s="4"/>
      <c r="E37" s="4"/>
      <c r="F37" s="4"/>
      <c r="G37" s="4"/>
    </row>
    <row r="38" customFormat="false" ht="18" hidden="false" customHeight="true" outlineLevel="1" collapsed="false">
      <c r="A38" s="13" t="s">
        <v>45</v>
      </c>
      <c r="B38" s="3" t="n">
        <v>6</v>
      </c>
      <c r="C38" s="4" t="n">
        <v>2</v>
      </c>
      <c r="D38" s="4" t="n">
        <v>26</v>
      </c>
      <c r="E38" s="4" t="n">
        <v>5</v>
      </c>
      <c r="F38" s="4" t="n">
        <v>8</v>
      </c>
      <c r="G38" s="4" t="n">
        <v>12</v>
      </c>
    </row>
    <row r="39" customFormat="false" ht="18" hidden="false" customHeight="true" outlineLevel="1" collapsed="false">
      <c r="A39" s="14" t="s">
        <v>46</v>
      </c>
      <c r="B39" s="3" t="n">
        <v>4</v>
      </c>
      <c r="C39" s="4" t="n">
        <v>1</v>
      </c>
      <c r="D39" s="4" t="n">
        <v>16</v>
      </c>
      <c r="E39" s="4" t="n">
        <v>3</v>
      </c>
      <c r="F39" s="4" t="n">
        <v>5</v>
      </c>
      <c r="G39" s="4" t="n">
        <v>6</v>
      </c>
    </row>
    <row r="40" customFormat="false" ht="18" hidden="false" customHeight="true" outlineLevel="1" collapsed="false">
      <c r="A40" s="14" t="s">
        <v>47</v>
      </c>
      <c r="B40" s="3" t="n">
        <v>6</v>
      </c>
      <c r="C40" s="4" t="n">
        <v>2</v>
      </c>
      <c r="D40" s="4" t="n">
        <v>24</v>
      </c>
      <c r="E40" s="4" t="n">
        <v>4</v>
      </c>
      <c r="F40" s="4" t="n">
        <v>8</v>
      </c>
      <c r="G40" s="4" t="n">
        <v>3</v>
      </c>
    </row>
    <row r="41" customFormat="false" ht="18" hidden="false" customHeight="true" outlineLevel="1" collapsed="false">
      <c r="A41" s="14"/>
      <c r="B41" s="3"/>
      <c r="C41" s="4"/>
      <c r="D41" s="4"/>
      <c r="E41" s="4"/>
      <c r="F41" s="4"/>
      <c r="G41" s="4"/>
    </row>
    <row r="42" customFormat="false" ht="18" hidden="false" customHeight="true" outlineLevel="1" collapsed="false">
      <c r="A42" s="13" t="s">
        <v>48</v>
      </c>
      <c r="B42" s="3"/>
      <c r="C42" s="4"/>
      <c r="D42" s="4"/>
      <c r="E42" s="4"/>
      <c r="F42" s="4"/>
      <c r="G42" s="4"/>
    </row>
    <row r="43" customFormat="false" ht="18" hidden="false" customHeight="true" outlineLevel="1" collapsed="false">
      <c r="A43" s="14" t="s">
        <v>49</v>
      </c>
      <c r="B43" s="3" t="n">
        <v>5</v>
      </c>
      <c r="C43" s="4" t="n">
        <v>1</v>
      </c>
      <c r="D43" s="4" t="n">
        <v>20</v>
      </c>
      <c r="E43" s="4" t="n">
        <v>6</v>
      </c>
      <c r="F43" s="4" t="n">
        <v>6</v>
      </c>
      <c r="G43" s="4" t="n">
        <v>4</v>
      </c>
    </row>
    <row r="44" customFormat="false" ht="18" hidden="false" customHeight="true" outlineLevel="1" collapsed="false">
      <c r="A44" s="14" t="s">
        <v>50</v>
      </c>
      <c r="B44" s="3" t="n">
        <v>6</v>
      </c>
      <c r="C44" s="4" t="n">
        <v>2</v>
      </c>
      <c r="D44" s="4" t="n">
        <v>24</v>
      </c>
      <c r="E44" s="4" t="n">
        <v>8</v>
      </c>
      <c r="F44" s="4" t="n">
        <v>10</v>
      </c>
      <c r="G44" s="4" t="n">
        <v>2</v>
      </c>
    </row>
    <row r="45" customFormat="false" ht="18" hidden="false" customHeight="true" outlineLevel="1" collapsed="false">
      <c r="A45" s="14"/>
      <c r="B45" s="3"/>
      <c r="C45" s="4"/>
      <c r="D45" s="4"/>
      <c r="E45" s="4"/>
      <c r="F45" s="4"/>
      <c r="G45" s="4"/>
    </row>
    <row r="46" customFormat="false" ht="18" hidden="false" customHeight="true" outlineLevel="1" collapsed="false">
      <c r="A46" s="14" t="s">
        <v>51</v>
      </c>
      <c r="B46" s="3"/>
      <c r="C46" s="4"/>
      <c r="D46" s="4"/>
      <c r="E46" s="4"/>
      <c r="F46" s="4"/>
      <c r="G46" s="4"/>
    </row>
    <row r="47" customFormat="false" ht="18" hidden="false" customHeight="true" outlineLevel="1" collapsed="false">
      <c r="A47" s="14" t="s">
        <v>52</v>
      </c>
      <c r="B47" s="3" t="n">
        <v>5</v>
      </c>
      <c r="C47" s="4" t="n">
        <v>1</v>
      </c>
      <c r="D47" s="4" t="n">
        <v>20</v>
      </c>
      <c r="E47" s="4" t="n">
        <v>4</v>
      </c>
      <c r="F47" s="4" t="n">
        <v>6</v>
      </c>
      <c r="G47" s="4" t="n">
        <v>2</v>
      </c>
    </row>
    <row r="48" customFormat="false" ht="18" hidden="false" customHeight="true" outlineLevel="0" collapsed="false">
      <c r="A48" s="14" t="s">
        <v>53</v>
      </c>
      <c r="B48" s="3" t="n">
        <v>3</v>
      </c>
      <c r="C48" s="4" t="n">
        <v>1</v>
      </c>
      <c r="D48" s="4" t="n">
        <v>10</v>
      </c>
      <c r="E48" s="4" t="n">
        <v>3</v>
      </c>
      <c r="F48" s="4" t="n">
        <v>4</v>
      </c>
      <c r="G48" s="4" t="n">
        <v>1</v>
      </c>
    </row>
    <row r="49" customFormat="false" ht="18" hidden="false" customHeight="true" outlineLevel="0" collapsed="false">
      <c r="A49" s="14"/>
      <c r="B49" s="3"/>
      <c r="C49" s="4"/>
      <c r="D49" s="4"/>
      <c r="E49" s="4"/>
      <c r="F49" s="4"/>
      <c r="G49" s="4"/>
    </row>
    <row r="50" customFormat="false" ht="18" hidden="false" customHeight="true" outlineLevel="1" collapsed="false">
      <c r="A50" s="14" t="s">
        <v>54</v>
      </c>
      <c r="B50" s="3"/>
      <c r="C50" s="4"/>
      <c r="D50" s="4"/>
      <c r="E50" s="4"/>
      <c r="F50" s="4"/>
      <c r="G50" s="4"/>
    </row>
    <row r="51" customFormat="false" ht="18" hidden="false" customHeight="true" outlineLevel="1" collapsed="false">
      <c r="A51" s="14" t="s">
        <v>55</v>
      </c>
      <c r="B51" s="3" t="n">
        <v>5</v>
      </c>
      <c r="C51" s="4" t="n">
        <v>1</v>
      </c>
      <c r="D51" s="4" t="n">
        <v>20</v>
      </c>
      <c r="E51" s="4" t="n">
        <v>6</v>
      </c>
      <c r="F51" s="4" t="n">
        <v>6</v>
      </c>
      <c r="G51" s="4" t="n">
        <v>3</v>
      </c>
    </row>
    <row r="52" customFormat="false" ht="18" hidden="false" customHeight="true" outlineLevel="1" collapsed="false">
      <c r="A52" s="14"/>
      <c r="B52" s="3"/>
      <c r="C52" s="4"/>
      <c r="D52" s="4"/>
      <c r="E52" s="4"/>
      <c r="F52" s="4"/>
      <c r="G52" s="4"/>
    </row>
    <row r="53" customFormat="false" ht="18" hidden="false" customHeight="true" outlineLevel="0" collapsed="false">
      <c r="A53" s="14" t="s">
        <v>56</v>
      </c>
      <c r="B53" s="3"/>
      <c r="C53" s="4"/>
      <c r="D53" s="4"/>
      <c r="E53" s="4"/>
      <c r="F53" s="4"/>
      <c r="G53" s="4"/>
    </row>
    <row r="54" customFormat="false" ht="18" hidden="false" customHeight="true" outlineLevel="1" collapsed="false">
      <c r="A54" s="14" t="s">
        <v>57</v>
      </c>
      <c r="B54" s="3" t="n">
        <v>3</v>
      </c>
      <c r="C54" s="4" t="n">
        <v>1</v>
      </c>
      <c r="D54" s="4" t="n">
        <v>12</v>
      </c>
      <c r="E54" s="4" t="n">
        <v>3</v>
      </c>
      <c r="F54" s="4" t="n">
        <v>4</v>
      </c>
      <c r="G54" s="4" t="n">
        <v>2</v>
      </c>
    </row>
    <row r="55" customFormat="false" ht="18" hidden="false" customHeight="true" outlineLevel="1" collapsed="false">
      <c r="A55" s="14" t="s">
        <v>58</v>
      </c>
      <c r="B55" s="3" t="n">
        <v>3</v>
      </c>
      <c r="C55" s="4" t="n">
        <v>1</v>
      </c>
      <c r="D55" s="4" t="n">
        <v>10</v>
      </c>
      <c r="E55" s="4" t="n">
        <v>3</v>
      </c>
      <c r="F55" s="4" t="n">
        <v>4</v>
      </c>
      <c r="G55" s="4" t="n">
        <v>2</v>
      </c>
    </row>
    <row r="56" customFormat="false" ht="18" hidden="false" customHeight="true" outlineLevel="1" collapsed="false">
      <c r="A56" s="14"/>
      <c r="B56" s="3"/>
      <c r="C56" s="4"/>
      <c r="D56" s="4"/>
      <c r="E56" s="4"/>
      <c r="F56" s="4"/>
      <c r="G56" s="4"/>
    </row>
    <row r="57" customFormat="false" ht="18" hidden="false" customHeight="true" outlineLevel="1" collapsed="false">
      <c r="A57" s="14" t="s">
        <v>59</v>
      </c>
      <c r="B57" s="3"/>
      <c r="C57" s="4"/>
      <c r="D57" s="4"/>
      <c r="E57" s="4"/>
      <c r="F57" s="4"/>
      <c r="G57" s="4"/>
    </row>
    <row r="58" customFormat="false" ht="18" hidden="false" customHeight="true" outlineLevel="0" collapsed="false">
      <c r="A58" s="14" t="s">
        <v>60</v>
      </c>
      <c r="B58" s="3" t="n">
        <v>3</v>
      </c>
      <c r="C58" s="4" t="n">
        <v>1</v>
      </c>
      <c r="D58" s="4" t="n">
        <v>12</v>
      </c>
      <c r="E58" s="4" t="n">
        <v>4</v>
      </c>
      <c r="F58" s="4" t="n">
        <v>3</v>
      </c>
      <c r="G58" s="4" t="n">
        <v>2</v>
      </c>
    </row>
    <row r="59" customFormat="false" ht="18" hidden="false" customHeight="true" outlineLevel="0" collapsed="false">
      <c r="A59" s="14" t="s">
        <v>61</v>
      </c>
      <c r="B59" s="3" t="n">
        <v>3</v>
      </c>
      <c r="C59" s="4" t="n">
        <v>1</v>
      </c>
      <c r="D59" s="4" t="n">
        <v>12</v>
      </c>
      <c r="E59" s="4" t="n">
        <v>4</v>
      </c>
      <c r="F59" s="4" t="n">
        <v>3</v>
      </c>
      <c r="G59" s="4" t="n">
        <v>2</v>
      </c>
    </row>
    <row r="60" customFormat="false" ht="18" hidden="false" customHeight="true" outlineLevel="0" collapsed="false">
      <c r="A60" s="14" t="s">
        <v>62</v>
      </c>
      <c r="B60" s="3" t="n">
        <v>3</v>
      </c>
      <c r="C60" s="4" t="n">
        <v>1</v>
      </c>
      <c r="D60" s="4" t="n">
        <v>10</v>
      </c>
      <c r="E60" s="4" t="n">
        <v>4</v>
      </c>
      <c r="F60" s="4" t="n">
        <v>3</v>
      </c>
      <c r="G60" s="4" t="n">
        <v>2</v>
      </c>
    </row>
    <row r="61" customFormat="false" ht="14.25" hidden="false" customHeight="true" outlineLevel="0" collapsed="false">
      <c r="A61" s="14"/>
      <c r="B61" s="3"/>
      <c r="C61" s="4"/>
      <c r="D61" s="4"/>
      <c r="E61" s="4"/>
      <c r="F61" s="4"/>
      <c r="G61" s="4"/>
    </row>
    <row r="62" customFormat="false" ht="14.25" hidden="false" customHeight="true" outlineLevel="0" collapsed="false">
      <c r="A62" s="14"/>
      <c r="B62" s="3"/>
      <c r="C62" s="4"/>
      <c r="D62" s="4"/>
      <c r="E62" s="4"/>
      <c r="F62" s="4"/>
      <c r="G62" s="4"/>
    </row>
    <row r="63" customFormat="false" ht="27.75" hidden="false" customHeight="true" outlineLevel="0" collapsed="false">
      <c r="A63" s="6" t="s">
        <v>63</v>
      </c>
      <c r="B63" s="6"/>
      <c r="C63" s="7" t="s">
        <v>6</v>
      </c>
      <c r="D63" s="7" t="s">
        <v>7</v>
      </c>
      <c r="E63" s="7" t="s">
        <v>8</v>
      </c>
      <c r="F63" s="7" t="s">
        <v>9</v>
      </c>
      <c r="G63" s="7" t="s">
        <v>10</v>
      </c>
    </row>
    <row r="64" customFormat="false" ht="14.25" hidden="false" customHeight="true" outlineLevel="0" collapsed="false">
      <c r="A64" s="15" t="s">
        <v>64</v>
      </c>
      <c r="B64" s="3" t="n">
        <v>3</v>
      </c>
      <c r="C64" s="3" t="n">
        <v>0</v>
      </c>
      <c r="D64" s="3" t="n">
        <v>0</v>
      </c>
      <c r="E64" s="3" t="n">
        <v>7</v>
      </c>
      <c r="F64" s="3" t="n">
        <v>19</v>
      </c>
      <c r="G64" s="3" t="n">
        <v>0</v>
      </c>
    </row>
    <row r="65" customFormat="false" ht="14.25" hidden="false" customHeight="true" outlineLevel="0" collapsed="false">
      <c r="A65" s="15" t="s">
        <v>65</v>
      </c>
      <c r="B65" s="3" t="n">
        <v>8</v>
      </c>
      <c r="C65" s="3" t="n">
        <v>0</v>
      </c>
      <c r="D65" s="3" t="n">
        <v>0</v>
      </c>
      <c r="E65" s="3" t="n">
        <v>9</v>
      </c>
      <c r="F65" s="3" t="n">
        <v>59</v>
      </c>
      <c r="G65" s="3" t="n">
        <v>0</v>
      </c>
    </row>
    <row r="66" customFormat="false" ht="14.25" hidden="false" customHeight="true" outlineLevel="0" collapsed="false">
      <c r="A66" s="15" t="s">
        <v>66</v>
      </c>
      <c r="B66" s="3" t="n">
        <v>5</v>
      </c>
      <c r="C66" s="3" t="n">
        <v>0</v>
      </c>
      <c r="D66" s="3" t="n">
        <v>0</v>
      </c>
      <c r="E66" s="3" t="n">
        <v>4</v>
      </c>
      <c r="F66" s="3" t="n">
        <v>42</v>
      </c>
      <c r="G66" s="3" t="n">
        <v>0</v>
      </c>
    </row>
    <row r="67" customFormat="false" ht="14.25" hidden="false" customHeight="true" outlineLevel="0" collapsed="false">
      <c r="A67" s="3"/>
      <c r="B67" s="3"/>
      <c r="C67" s="3"/>
      <c r="D67" s="3"/>
      <c r="E67" s="3"/>
      <c r="F67" s="3"/>
      <c r="G67" s="3"/>
    </row>
    <row r="68" customFormat="false" ht="27.75" hidden="false" customHeight="true" outlineLevel="0" collapsed="false">
      <c r="A68" s="6" t="s">
        <v>67</v>
      </c>
      <c r="B68" s="6"/>
      <c r="C68" s="7" t="s">
        <v>6</v>
      </c>
      <c r="D68" s="7" t="s">
        <v>7</v>
      </c>
      <c r="E68" s="7" t="s">
        <v>8</v>
      </c>
      <c r="F68" s="7" t="s">
        <v>9</v>
      </c>
      <c r="G68" s="7" t="s">
        <v>10</v>
      </c>
    </row>
    <row r="69" customFormat="false" ht="14.25" hidden="false" customHeight="true" outlineLevel="0" collapsed="false">
      <c r="A69" s="15" t="s">
        <v>68</v>
      </c>
      <c r="B69" s="3" t="n">
        <v>4</v>
      </c>
      <c r="C69" s="3" t="n">
        <v>4</v>
      </c>
      <c r="D69" s="3" t="n">
        <v>14</v>
      </c>
      <c r="E69" s="3" t="n">
        <v>12</v>
      </c>
      <c r="F69" s="3" t="n">
        <v>6</v>
      </c>
      <c r="G69" s="3" t="n">
        <v>0</v>
      </c>
    </row>
    <row r="70" customFormat="false" ht="14.25" hidden="false" customHeight="true" outlineLevel="0" collapsed="false">
      <c r="A70" s="15" t="s">
        <v>69</v>
      </c>
      <c r="B70" s="3" t="n">
        <v>3</v>
      </c>
      <c r="C70" s="3" t="n">
        <v>8</v>
      </c>
      <c r="D70" s="3" t="n">
        <v>6</v>
      </c>
      <c r="E70" s="3" t="n">
        <v>2</v>
      </c>
      <c r="F70" s="3" t="n">
        <v>2</v>
      </c>
      <c r="G70" s="3" t="n">
        <v>2</v>
      </c>
    </row>
    <row r="71" customFormat="false" ht="14.25" hidden="false" customHeight="true" outlineLevel="0" collapsed="false">
      <c r="A71" s="15" t="s">
        <v>70</v>
      </c>
      <c r="B71" s="3" t="n">
        <v>4</v>
      </c>
      <c r="C71" s="3" t="n">
        <v>6</v>
      </c>
      <c r="D71" s="3" t="n">
        <v>8</v>
      </c>
      <c r="E71" s="3" t="n">
        <v>2</v>
      </c>
      <c r="F71" s="3" t="n">
        <v>4</v>
      </c>
      <c r="G71" s="3" t="n">
        <v>8</v>
      </c>
    </row>
    <row r="72" customFormat="false" ht="14.25" hidden="false" customHeight="true" outlineLevel="0" collapsed="false">
      <c r="A72" s="15" t="s">
        <v>71</v>
      </c>
      <c r="B72" s="3" t="n">
        <v>2</v>
      </c>
      <c r="C72" s="3" t="n">
        <v>8</v>
      </c>
      <c r="D72" s="3" t="n">
        <v>2</v>
      </c>
      <c r="E72" s="3" t="n">
        <v>2</v>
      </c>
      <c r="F72" s="3" t="n">
        <v>2</v>
      </c>
      <c r="G72" s="3" t="n">
        <v>2</v>
      </c>
    </row>
    <row r="73" customFormat="false" ht="14.25" hidden="false" customHeight="true" outlineLevel="0" collapsed="false">
      <c r="A73" s="3"/>
      <c r="B73" s="3"/>
      <c r="C73" s="3"/>
      <c r="D73" s="3"/>
      <c r="E73" s="3"/>
      <c r="F73" s="3"/>
      <c r="G73" s="3"/>
    </row>
    <row r="74" customFormat="false" ht="14.25" hidden="false" customHeight="true" outlineLevel="0" collapsed="false">
      <c r="B74" s="1" t="n">
        <f aca="false">SUM(B6:B73)</f>
        <v>185</v>
      </c>
    </row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">
    <mergeCell ref="A2:D2"/>
    <mergeCell ref="C4:G4"/>
    <mergeCell ref="I4:J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21"/>
    <col collapsed="false" customWidth="true" hidden="false" outlineLevel="0" max="3" min="3" style="1" width="40.43"/>
    <col collapsed="false" customWidth="true" hidden="false" outlineLevel="0" max="4" min="4" style="1" width="10.71"/>
    <col collapsed="false" customWidth="true" hidden="false" outlineLevel="0" max="5" min="5" style="1" width="7.43"/>
    <col collapsed="false" customWidth="true" hidden="false" outlineLevel="0" max="6" min="6" style="1" width="23.71"/>
    <col collapsed="false" customWidth="true" hidden="false" outlineLevel="0" max="7" min="7" style="1" width="4.86"/>
    <col collapsed="false" customWidth="true" hidden="false" outlineLevel="0" max="8" min="8" style="1" width="23.43"/>
    <col collapsed="false" customWidth="true" hidden="false" outlineLevel="0" max="9" min="9" style="1" width="31.16"/>
    <col collapsed="false" customWidth="true" hidden="false" outlineLevel="0" max="10" min="10" style="1" width="16"/>
    <col collapsed="false" customWidth="true" hidden="false" outlineLevel="0" max="11" min="11" style="1" width="15.29"/>
    <col collapsed="false" customWidth="true" hidden="false" outlineLevel="0" max="26" min="12" style="1" width="10.71"/>
  </cols>
  <sheetData>
    <row r="1" customFormat="false" ht="14.25" hidden="false" customHeight="true" outlineLevel="0" collapsed="false"/>
    <row r="2" customFormat="false" ht="28.5" hidden="false" customHeight="true" outlineLevel="0" collapsed="false">
      <c r="A2" s="8" t="s">
        <v>72</v>
      </c>
      <c r="B2" s="8" t="s">
        <v>73</v>
      </c>
      <c r="C2" s="8" t="s">
        <v>74</v>
      </c>
      <c r="D2" s="7" t="s">
        <v>75</v>
      </c>
      <c r="E2" s="8" t="s">
        <v>76</v>
      </c>
      <c r="F2" s="8" t="s">
        <v>77</v>
      </c>
      <c r="H2" s="16" t="s">
        <v>78</v>
      </c>
      <c r="I2" s="16"/>
      <c r="J2" s="16"/>
      <c r="K2" s="16"/>
    </row>
    <row r="3" customFormat="false" ht="14.25" hidden="false" customHeight="true" outlineLevel="0" collapsed="false">
      <c r="A3" s="3" t="s">
        <v>79</v>
      </c>
      <c r="B3" s="3" t="s">
        <v>6</v>
      </c>
      <c r="C3" s="3" t="s">
        <v>14</v>
      </c>
      <c r="D3" s="3" t="n">
        <f aca="false">$J$4</f>
        <v>11389</v>
      </c>
      <c r="E3" s="17" t="n">
        <f aca="false">SUM(EDT!C6:C9)</f>
        <v>38</v>
      </c>
      <c r="F3" s="18" t="n">
        <f aca="false">D3*E3</f>
        <v>432782</v>
      </c>
      <c r="H3" s="8" t="s">
        <v>73</v>
      </c>
      <c r="I3" s="8" t="s">
        <v>74</v>
      </c>
      <c r="J3" s="8" t="s">
        <v>80</v>
      </c>
      <c r="K3" s="8" t="s">
        <v>81</v>
      </c>
    </row>
    <row r="4" customFormat="false" ht="14.25" hidden="false" customHeight="true" outlineLevel="0" collapsed="false">
      <c r="A4" s="3" t="s">
        <v>82</v>
      </c>
      <c r="B4" s="3" t="s">
        <v>7</v>
      </c>
      <c r="C4" s="11" t="s">
        <v>16</v>
      </c>
      <c r="D4" s="3" t="n">
        <f aca="false">$J$5</f>
        <v>7778</v>
      </c>
      <c r="E4" s="17" t="n">
        <f aca="false">SUM(EDT!D6:D9)</f>
        <v>17</v>
      </c>
      <c r="F4" s="18" t="n">
        <f aca="false">D4*E4</f>
        <v>132226</v>
      </c>
      <c r="H4" s="3" t="s">
        <v>6</v>
      </c>
      <c r="I4" s="3" t="s">
        <v>14</v>
      </c>
      <c r="J4" s="3" t="n">
        <f aca="false">ROUND(K4/$I$10,0)</f>
        <v>11389</v>
      </c>
      <c r="K4" s="3" t="n">
        <v>2050000</v>
      </c>
    </row>
    <row r="5" customFormat="false" ht="14.25" hidden="false" customHeight="true" outlineLevel="0" collapsed="false">
      <c r="A5" s="3" t="s">
        <v>8</v>
      </c>
      <c r="B5" s="3" t="s">
        <v>83</v>
      </c>
      <c r="C5" s="3" t="s">
        <v>18</v>
      </c>
      <c r="D5" s="3" t="n">
        <f aca="false">$J$6</f>
        <v>8056</v>
      </c>
      <c r="E5" s="17" t="n">
        <f aca="false">SUM(EDT!E6:E9)</f>
        <v>9</v>
      </c>
      <c r="F5" s="18" t="n">
        <f aca="false">D5*E5</f>
        <v>72504</v>
      </c>
      <c r="H5" s="3" t="s">
        <v>7</v>
      </c>
      <c r="I5" s="11" t="s">
        <v>16</v>
      </c>
      <c r="J5" s="3" t="n">
        <f aca="false">ROUND(K5/$I$10,0)</f>
        <v>7778</v>
      </c>
      <c r="K5" s="3" t="n">
        <v>1400000</v>
      </c>
    </row>
    <row r="6" customFormat="false" ht="14.25" hidden="false" customHeight="true" outlineLevel="0" collapsed="false">
      <c r="A6" s="3" t="s">
        <v>9</v>
      </c>
      <c r="B6" s="3" t="s">
        <v>84</v>
      </c>
      <c r="C6" s="3" t="s">
        <v>20</v>
      </c>
      <c r="D6" s="3" t="n">
        <f aca="false">$J$7</f>
        <v>7778</v>
      </c>
      <c r="E6" s="17" t="n">
        <f aca="false">SUM(EDT!F6:F9)</f>
        <v>11</v>
      </c>
      <c r="F6" s="18" t="n">
        <f aca="false">D6*E6</f>
        <v>85558</v>
      </c>
      <c r="H6" s="3" t="s">
        <v>85</v>
      </c>
      <c r="I6" s="3" t="s">
        <v>18</v>
      </c>
      <c r="J6" s="3" t="n">
        <f aca="false">ROUND(K6/$I$10,0)</f>
        <v>8056</v>
      </c>
      <c r="K6" s="3" t="n">
        <v>1450000</v>
      </c>
    </row>
    <row r="7" customFormat="false" ht="14.25" hidden="false" customHeight="true" outlineLevel="0" collapsed="false">
      <c r="A7" s="3" t="s">
        <v>86</v>
      </c>
      <c r="B7" s="3" t="s">
        <v>10</v>
      </c>
      <c r="C7" s="3" t="s">
        <v>21</v>
      </c>
      <c r="D7" s="3" t="n">
        <f aca="false">$J$8</f>
        <v>8333</v>
      </c>
      <c r="E7" s="17" t="n">
        <f aca="false">SUM(EDT!G6:G9)</f>
        <v>9</v>
      </c>
      <c r="F7" s="18" t="n">
        <f aca="false">D7*E7</f>
        <v>74997</v>
      </c>
      <c r="H7" s="3" t="s">
        <v>84</v>
      </c>
      <c r="I7" s="3" t="s">
        <v>20</v>
      </c>
      <c r="J7" s="3" t="n">
        <f aca="false">ROUND(K7/$I$10,0)</f>
        <v>7778</v>
      </c>
      <c r="K7" s="3" t="n">
        <v>1400000</v>
      </c>
    </row>
    <row r="8" customFormat="false" ht="14.25" hidden="false" customHeight="true" outlineLevel="0" collapsed="false">
      <c r="A8" s="3"/>
      <c r="B8" s="4" t="s">
        <v>87</v>
      </c>
      <c r="C8" s="4"/>
      <c r="D8" s="4"/>
      <c r="E8" s="4"/>
      <c r="F8" s="18" t="n">
        <f aca="false">SUM(F3:F7)</f>
        <v>798067</v>
      </c>
      <c r="H8" s="3" t="s">
        <v>10</v>
      </c>
      <c r="I8" s="3" t="s">
        <v>21</v>
      </c>
      <c r="J8" s="3" t="n">
        <f aca="false">ROUND(K8/$I$10,0)</f>
        <v>8333</v>
      </c>
      <c r="K8" s="3" t="n">
        <v>1500000</v>
      </c>
    </row>
    <row r="9" customFormat="false" ht="14.25" hidden="false" customHeight="true" outlineLevel="0" collapsed="false">
      <c r="H9" s="1" t="s">
        <v>88</v>
      </c>
    </row>
    <row r="10" customFormat="false" ht="14.25" hidden="false" customHeight="true" outlineLevel="0" collapsed="false">
      <c r="H10" s="1" t="s">
        <v>89</v>
      </c>
      <c r="I10" s="1" t="n">
        <v>180</v>
      </c>
    </row>
    <row r="11" customFormat="false" ht="28.5" hidden="false" customHeight="true" outlineLevel="0" collapsed="false">
      <c r="A11" s="8" t="s">
        <v>72</v>
      </c>
      <c r="B11" s="8" t="s">
        <v>73</v>
      </c>
      <c r="C11" s="8" t="s">
        <v>74</v>
      </c>
      <c r="D11" s="7" t="s">
        <v>90</v>
      </c>
      <c r="E11" s="8" t="s">
        <v>76</v>
      </c>
      <c r="F11" s="8" t="s">
        <v>91</v>
      </c>
      <c r="H11" s="16" t="s">
        <v>92</v>
      </c>
      <c r="I11" s="16"/>
    </row>
    <row r="12" customFormat="false" ht="14.25" hidden="false" customHeight="true" outlineLevel="0" collapsed="false">
      <c r="A12" s="3" t="s">
        <v>79</v>
      </c>
      <c r="B12" s="3" t="s">
        <v>6</v>
      </c>
      <c r="C12" s="3" t="s">
        <v>14</v>
      </c>
      <c r="D12" s="3" t="n">
        <f aca="false">$J$4</f>
        <v>11389</v>
      </c>
      <c r="E12" s="17" t="n">
        <f aca="false">SUM(EDT!C12:C16)</f>
        <v>52</v>
      </c>
      <c r="F12" s="18" t="n">
        <f aca="false">D12*E12</f>
        <v>592228</v>
      </c>
      <c r="H12" s="3" t="s">
        <v>6</v>
      </c>
      <c r="I12" s="18" t="n">
        <f aca="false">F3+F12+F21+F30+F39</f>
        <v>1708350</v>
      </c>
    </row>
    <row r="13" customFormat="false" ht="14.25" hidden="false" customHeight="true" outlineLevel="0" collapsed="false">
      <c r="A13" s="3" t="s">
        <v>82</v>
      </c>
      <c r="B13" s="3" t="s">
        <v>7</v>
      </c>
      <c r="C13" s="11" t="s">
        <v>16</v>
      </c>
      <c r="D13" s="3" t="n">
        <f aca="false">$J$5</f>
        <v>7778</v>
      </c>
      <c r="E13" s="17" t="n">
        <f aca="false">SUM(EDT!D12:D16)</f>
        <v>70</v>
      </c>
      <c r="F13" s="18" t="n">
        <f aca="false">D13*E13</f>
        <v>544460</v>
      </c>
      <c r="H13" s="3" t="s">
        <v>7</v>
      </c>
      <c r="I13" s="18" t="n">
        <f aca="false">F4+F13+F22+F31+F40</f>
        <v>4379014</v>
      </c>
    </row>
    <row r="14" customFormat="false" ht="14.25" hidden="false" customHeight="true" outlineLevel="0" collapsed="false">
      <c r="A14" s="3" t="s">
        <v>8</v>
      </c>
      <c r="B14" s="3" t="s">
        <v>83</v>
      </c>
      <c r="C14" s="3" t="s">
        <v>18</v>
      </c>
      <c r="D14" s="3" t="n">
        <f aca="false">$J$6</f>
        <v>8056</v>
      </c>
      <c r="E14" s="17" t="n">
        <f aca="false">SUM(EDT!E12:E16)</f>
        <v>50</v>
      </c>
      <c r="F14" s="18" t="n">
        <f aca="false">D14*E14</f>
        <v>402800</v>
      </c>
      <c r="H14" s="3" t="s">
        <v>85</v>
      </c>
      <c r="I14" s="18" t="n">
        <f aca="false">F5+F14+F23+F32+F41</f>
        <v>2118728</v>
      </c>
    </row>
    <row r="15" customFormat="false" ht="14.25" hidden="false" customHeight="true" outlineLevel="0" collapsed="false">
      <c r="A15" s="3" t="s">
        <v>9</v>
      </c>
      <c r="B15" s="3" t="s">
        <v>84</v>
      </c>
      <c r="C15" s="3" t="s">
        <v>20</v>
      </c>
      <c r="D15" s="3" t="n">
        <f aca="false">$J$7</f>
        <v>7778</v>
      </c>
      <c r="E15" s="17" t="n">
        <f aca="false">SUM(EDT!F12:F16)</f>
        <v>38</v>
      </c>
      <c r="F15" s="18" t="n">
        <f aca="false">D15*E15</f>
        <v>295564</v>
      </c>
      <c r="H15" s="3" t="s">
        <v>84</v>
      </c>
      <c r="I15" s="18" t="n">
        <f aca="false">F6+F15+F24+F33+F42</f>
        <v>2535628</v>
      </c>
    </row>
    <row r="16" customFormat="false" ht="14.25" hidden="false" customHeight="true" outlineLevel="0" collapsed="false">
      <c r="A16" s="3" t="s">
        <v>86</v>
      </c>
      <c r="B16" s="3" t="s">
        <v>10</v>
      </c>
      <c r="C16" s="3" t="s">
        <v>21</v>
      </c>
      <c r="D16" s="3" t="n">
        <f aca="false">$J$8</f>
        <v>8333</v>
      </c>
      <c r="E16" s="17" t="n">
        <f aca="false">SUM(EDT!G12:G16)</f>
        <v>16</v>
      </c>
      <c r="F16" s="18" t="n">
        <f aca="false">D16*E16</f>
        <v>133328</v>
      </c>
      <c r="H16" s="3" t="s">
        <v>10</v>
      </c>
      <c r="I16" s="18" t="n">
        <f aca="false">F7+F16+F25+F34+F43</f>
        <v>1041625</v>
      </c>
    </row>
    <row r="17" customFormat="false" ht="15.75" hidden="false" customHeight="true" outlineLevel="0" collapsed="false">
      <c r="A17" s="3"/>
      <c r="B17" s="4" t="s">
        <v>93</v>
      </c>
      <c r="C17" s="4"/>
      <c r="D17" s="4"/>
      <c r="E17" s="4"/>
      <c r="F17" s="18" t="n">
        <f aca="false">SUM(F12:F16)</f>
        <v>1968380</v>
      </c>
      <c r="H17" s="19" t="s">
        <v>94</v>
      </c>
      <c r="I17" s="20" t="n">
        <f aca="false">SUM(I12:I16)</f>
        <v>11783345</v>
      </c>
    </row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28.5" hidden="false" customHeight="true" outlineLevel="0" collapsed="false">
      <c r="A20" s="8" t="s">
        <v>72</v>
      </c>
      <c r="B20" s="8" t="s">
        <v>73</v>
      </c>
      <c r="C20" s="8" t="s">
        <v>74</v>
      </c>
      <c r="D20" s="7" t="s">
        <v>90</v>
      </c>
      <c r="E20" s="8" t="s">
        <v>76</v>
      </c>
      <c r="F20" s="8" t="s">
        <v>95</v>
      </c>
      <c r="H20" s="16" t="s">
        <v>96</v>
      </c>
      <c r="I20" s="16"/>
    </row>
    <row r="21" customFormat="false" ht="14.25" hidden="false" customHeight="true" outlineLevel="0" collapsed="false">
      <c r="A21" s="3" t="s">
        <v>79</v>
      </c>
      <c r="B21" s="3" t="s">
        <v>6</v>
      </c>
      <c r="C21" s="3" t="s">
        <v>14</v>
      </c>
      <c r="D21" s="3" t="n">
        <f aca="false">$J$4</f>
        <v>11389</v>
      </c>
      <c r="E21" s="17" t="n">
        <f aca="false">SUM(EDT!C19:C60)</f>
        <v>34</v>
      </c>
      <c r="F21" s="18" t="n">
        <f aca="false">D21*E21</f>
        <v>387226</v>
      </c>
      <c r="H21" s="3" t="s">
        <v>5</v>
      </c>
      <c r="I21" s="18" t="n">
        <f aca="false">F8</f>
        <v>798067</v>
      </c>
    </row>
    <row r="22" customFormat="false" ht="14.25" hidden="false" customHeight="true" outlineLevel="0" collapsed="false">
      <c r="A22" s="3" t="s">
        <v>82</v>
      </c>
      <c r="B22" s="3" t="s">
        <v>7</v>
      </c>
      <c r="C22" s="11" t="s">
        <v>16</v>
      </c>
      <c r="D22" s="3" t="n">
        <f aca="false">$J$5</f>
        <v>7778</v>
      </c>
      <c r="E22" s="17" t="n">
        <f aca="false">SUM(EDT!D19:D60)</f>
        <v>446</v>
      </c>
      <c r="F22" s="18" t="n">
        <f aca="false">D22*E22</f>
        <v>3468988</v>
      </c>
      <c r="H22" s="3" t="s">
        <v>97</v>
      </c>
      <c r="I22" s="18" t="n">
        <f aca="false">F17</f>
        <v>1968380</v>
      </c>
    </row>
    <row r="23" customFormat="false" ht="14.25" hidden="false" customHeight="true" outlineLevel="0" collapsed="false">
      <c r="A23" s="3" t="s">
        <v>8</v>
      </c>
      <c r="B23" s="3" t="s">
        <v>83</v>
      </c>
      <c r="C23" s="3" t="s">
        <v>18</v>
      </c>
      <c r="D23" s="3" t="n">
        <f aca="false">$J$6</f>
        <v>8056</v>
      </c>
      <c r="E23" s="17" t="n">
        <f aca="false">SUM(EDT!E19:E60)</f>
        <v>166</v>
      </c>
      <c r="F23" s="18" t="n">
        <f aca="false">D23*E23</f>
        <v>1337296</v>
      </c>
      <c r="H23" s="3" t="s">
        <v>28</v>
      </c>
      <c r="I23" s="18" t="n">
        <f aca="false">F26</f>
        <v>7039068</v>
      </c>
    </row>
    <row r="24" customFormat="false" ht="14.25" hidden="false" customHeight="true" outlineLevel="0" collapsed="false">
      <c r="A24" s="3" t="s">
        <v>9</v>
      </c>
      <c r="B24" s="3" t="s">
        <v>84</v>
      </c>
      <c r="C24" s="3" t="s">
        <v>20</v>
      </c>
      <c r="D24" s="3" t="n">
        <f aca="false">$J$7</f>
        <v>7778</v>
      </c>
      <c r="E24" s="17" t="n">
        <f aca="false">SUM(EDT!F19:F60)</f>
        <v>143</v>
      </c>
      <c r="F24" s="18" t="n">
        <f aca="false">D24*E24</f>
        <v>1112254</v>
      </c>
      <c r="H24" s="3" t="s">
        <v>98</v>
      </c>
      <c r="I24" s="18" t="n">
        <f aca="false">F35</f>
        <v>1094480</v>
      </c>
    </row>
    <row r="25" customFormat="false" ht="14.25" hidden="false" customHeight="true" outlineLevel="0" collapsed="false">
      <c r="A25" s="3" t="s">
        <v>86</v>
      </c>
      <c r="B25" s="3" t="s">
        <v>10</v>
      </c>
      <c r="C25" s="3" t="s">
        <v>21</v>
      </c>
      <c r="D25" s="3" t="n">
        <f aca="false">$J$8</f>
        <v>8333</v>
      </c>
      <c r="E25" s="17" t="n">
        <f aca="false">SUM(EDT!G19:G60)</f>
        <v>88</v>
      </c>
      <c r="F25" s="18" t="n">
        <f aca="false">D25*E25</f>
        <v>733304</v>
      </c>
      <c r="H25" s="3" t="s">
        <v>99</v>
      </c>
      <c r="I25" s="18" t="n">
        <f aca="false">F44</f>
        <v>883350</v>
      </c>
    </row>
    <row r="26" customFormat="false" ht="15.75" hidden="false" customHeight="true" outlineLevel="0" collapsed="false">
      <c r="A26" s="3"/>
      <c r="B26" s="4" t="s">
        <v>100</v>
      </c>
      <c r="C26" s="4"/>
      <c r="D26" s="4"/>
      <c r="E26" s="4"/>
      <c r="F26" s="18" t="n">
        <f aca="false">SUM(F21:F25)</f>
        <v>7039068</v>
      </c>
      <c r="H26" s="19" t="s">
        <v>101</v>
      </c>
      <c r="I26" s="20" t="n">
        <f aca="false">SUM(I21:I25)</f>
        <v>11783345</v>
      </c>
    </row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28.5" hidden="false" customHeight="true" outlineLevel="0" collapsed="false">
      <c r="A29" s="8" t="s">
        <v>72</v>
      </c>
      <c r="B29" s="8" t="s">
        <v>73</v>
      </c>
      <c r="C29" s="8" t="s">
        <v>74</v>
      </c>
      <c r="D29" s="7" t="s">
        <v>90</v>
      </c>
      <c r="E29" s="8" t="s">
        <v>76</v>
      </c>
      <c r="F29" s="8" t="s">
        <v>102</v>
      </c>
      <c r="H29" s="8" t="s">
        <v>103</v>
      </c>
      <c r="I29" s="21" t="n">
        <v>0.6</v>
      </c>
    </row>
    <row r="30" customFormat="false" ht="14.25" hidden="false" customHeight="true" outlineLevel="0" collapsed="false">
      <c r="A30" s="3" t="s">
        <v>79</v>
      </c>
      <c r="B30" s="3" t="s">
        <v>6</v>
      </c>
      <c r="C30" s="3" t="s">
        <v>14</v>
      </c>
      <c r="D30" s="3" t="n">
        <f aca="false">$J$4</f>
        <v>11389</v>
      </c>
      <c r="E30" s="17" t="n">
        <f aca="false">SUM(EDT!C64:C66)</f>
        <v>0</v>
      </c>
      <c r="F30" s="18" t="n">
        <f aca="false">D30*E30</f>
        <v>0</v>
      </c>
      <c r="H30" s="3" t="s">
        <v>104</v>
      </c>
      <c r="I30" s="18" t="n">
        <f aca="false">I26*I29</f>
        <v>7070007</v>
      </c>
    </row>
    <row r="31" customFormat="false" ht="14.25" hidden="false" customHeight="true" outlineLevel="0" collapsed="false">
      <c r="A31" s="3" t="s">
        <v>82</v>
      </c>
      <c r="B31" s="3" t="s">
        <v>7</v>
      </c>
      <c r="C31" s="11" t="s">
        <v>16</v>
      </c>
      <c r="D31" s="3" t="n">
        <f aca="false">$J$5</f>
        <v>7778</v>
      </c>
      <c r="E31" s="17" t="n">
        <f aca="false">SUM(EDT!D64:D66)</f>
        <v>0</v>
      </c>
      <c r="F31" s="18" t="n">
        <f aca="false">D31*E31</f>
        <v>0</v>
      </c>
      <c r="H31" s="3" t="s">
        <v>105</v>
      </c>
      <c r="I31" s="18" t="n">
        <f aca="false">I26+I30</f>
        <v>18853352</v>
      </c>
    </row>
    <row r="32" customFormat="false" ht="14.25" hidden="false" customHeight="true" outlineLevel="0" collapsed="false">
      <c r="A32" s="3" t="s">
        <v>8</v>
      </c>
      <c r="B32" s="3" t="s">
        <v>83</v>
      </c>
      <c r="C32" s="3" t="s">
        <v>18</v>
      </c>
      <c r="D32" s="3" t="n">
        <f aca="false">$J$6</f>
        <v>8056</v>
      </c>
      <c r="E32" s="17" t="n">
        <f aca="false">SUM(EDT!E64:E66)</f>
        <v>20</v>
      </c>
      <c r="F32" s="18" t="n">
        <f aca="false">D32*E32</f>
        <v>161120</v>
      </c>
    </row>
    <row r="33" customFormat="false" ht="14.25" hidden="false" customHeight="true" outlineLevel="0" collapsed="false">
      <c r="A33" s="3" t="s">
        <v>9</v>
      </c>
      <c r="B33" s="3" t="s">
        <v>84</v>
      </c>
      <c r="C33" s="3" t="s">
        <v>20</v>
      </c>
      <c r="D33" s="3" t="n">
        <f aca="false">$J$7</f>
        <v>7778</v>
      </c>
      <c r="E33" s="17" t="n">
        <f aca="false">SUM(EDT!F64:F66)</f>
        <v>120</v>
      </c>
      <c r="F33" s="18" t="n">
        <f aca="false">D33*E33</f>
        <v>933360</v>
      </c>
    </row>
    <row r="34" customFormat="false" ht="14.25" hidden="false" customHeight="true" outlineLevel="0" collapsed="false">
      <c r="A34" s="3" t="s">
        <v>86</v>
      </c>
      <c r="B34" s="3" t="s">
        <v>10</v>
      </c>
      <c r="C34" s="3" t="s">
        <v>21</v>
      </c>
      <c r="D34" s="3" t="n">
        <f aca="false">$J$8</f>
        <v>8333</v>
      </c>
      <c r="E34" s="17" t="n">
        <f aca="false">SUM(EDT!G64:G66)</f>
        <v>0</v>
      </c>
      <c r="F34" s="18" t="n">
        <f aca="false">D34*E34</f>
        <v>0</v>
      </c>
    </row>
    <row r="35" customFormat="false" ht="14.25" hidden="false" customHeight="true" outlineLevel="0" collapsed="false">
      <c r="A35" s="3"/>
      <c r="B35" s="4" t="s">
        <v>106</v>
      </c>
      <c r="C35" s="4"/>
      <c r="D35" s="4"/>
      <c r="E35" s="4"/>
      <c r="F35" s="18" t="n">
        <f aca="false">SUM(F30:F34)</f>
        <v>1094480</v>
      </c>
    </row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28.5" hidden="false" customHeight="true" outlineLevel="0" collapsed="false">
      <c r="A38" s="8" t="s">
        <v>72</v>
      </c>
      <c r="B38" s="8" t="s">
        <v>73</v>
      </c>
      <c r="C38" s="8" t="s">
        <v>74</v>
      </c>
      <c r="D38" s="7" t="s">
        <v>90</v>
      </c>
      <c r="E38" s="8" t="s">
        <v>76</v>
      </c>
      <c r="F38" s="7" t="s">
        <v>107</v>
      </c>
    </row>
    <row r="39" customFormat="false" ht="14.25" hidden="false" customHeight="true" outlineLevel="0" collapsed="false">
      <c r="A39" s="3" t="s">
        <v>79</v>
      </c>
      <c r="B39" s="3" t="s">
        <v>6</v>
      </c>
      <c r="C39" s="3" t="s">
        <v>14</v>
      </c>
      <c r="D39" s="3" t="n">
        <f aca="false">$J$4</f>
        <v>11389</v>
      </c>
      <c r="E39" s="17" t="n">
        <f aca="false">SUM(EDT!C69:C72)</f>
        <v>26</v>
      </c>
      <c r="F39" s="18" t="n">
        <f aca="false">D39*E39</f>
        <v>296114</v>
      </c>
    </row>
    <row r="40" customFormat="false" ht="14.25" hidden="false" customHeight="true" outlineLevel="0" collapsed="false">
      <c r="A40" s="3" t="s">
        <v>82</v>
      </c>
      <c r="B40" s="3" t="s">
        <v>7</v>
      </c>
      <c r="C40" s="11" t="s">
        <v>16</v>
      </c>
      <c r="D40" s="3" t="n">
        <f aca="false">$J$5</f>
        <v>7778</v>
      </c>
      <c r="E40" s="17" t="n">
        <f aca="false">SUM(EDT!D69:D72)</f>
        <v>30</v>
      </c>
      <c r="F40" s="18" t="n">
        <f aca="false">D40*E40</f>
        <v>233340</v>
      </c>
    </row>
    <row r="41" customFormat="false" ht="14.25" hidden="false" customHeight="true" outlineLevel="0" collapsed="false">
      <c r="A41" s="3" t="s">
        <v>8</v>
      </c>
      <c r="B41" s="3" t="s">
        <v>83</v>
      </c>
      <c r="C41" s="3" t="s">
        <v>18</v>
      </c>
      <c r="D41" s="3" t="n">
        <f aca="false">$J$6</f>
        <v>8056</v>
      </c>
      <c r="E41" s="17" t="n">
        <f aca="false">SUM(EDT!E69:E72)</f>
        <v>18</v>
      </c>
      <c r="F41" s="18" t="n">
        <f aca="false">D41*E41</f>
        <v>145008</v>
      </c>
    </row>
    <row r="42" customFormat="false" ht="14.25" hidden="false" customHeight="true" outlineLevel="0" collapsed="false">
      <c r="A42" s="3" t="s">
        <v>9</v>
      </c>
      <c r="B42" s="3" t="s">
        <v>84</v>
      </c>
      <c r="C42" s="3" t="s">
        <v>20</v>
      </c>
      <c r="D42" s="3" t="n">
        <f aca="false">$J$7</f>
        <v>7778</v>
      </c>
      <c r="E42" s="17" t="n">
        <f aca="false">SUM(EDT!F69:F72)</f>
        <v>14</v>
      </c>
      <c r="F42" s="18" t="n">
        <f aca="false">D42*E42</f>
        <v>108892</v>
      </c>
    </row>
    <row r="43" customFormat="false" ht="14.25" hidden="false" customHeight="true" outlineLevel="0" collapsed="false">
      <c r="A43" s="3" t="s">
        <v>86</v>
      </c>
      <c r="B43" s="3" t="s">
        <v>10</v>
      </c>
      <c r="C43" s="3" t="s">
        <v>21</v>
      </c>
      <c r="D43" s="3" t="n">
        <f aca="false">$J$8</f>
        <v>8333</v>
      </c>
      <c r="E43" s="17" t="n">
        <f aca="false">SUM(EDT!G69:G72)</f>
        <v>12</v>
      </c>
      <c r="F43" s="18" t="n">
        <f aca="false">D43*E43</f>
        <v>99996</v>
      </c>
    </row>
    <row r="44" customFormat="false" ht="14.25" hidden="false" customHeight="true" outlineLevel="0" collapsed="false">
      <c r="A44" s="3"/>
      <c r="B44" s="4" t="s">
        <v>108</v>
      </c>
      <c r="C44" s="4"/>
      <c r="D44" s="4"/>
      <c r="E44" s="4"/>
      <c r="F44" s="18" t="n">
        <f aca="false">SUM(F39:F43)</f>
        <v>883350</v>
      </c>
    </row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8">
    <mergeCell ref="H2:K2"/>
    <mergeCell ref="B8:E8"/>
    <mergeCell ref="H11:I11"/>
    <mergeCell ref="B17:E17"/>
    <mergeCell ref="H20:I20"/>
    <mergeCell ref="B26:E26"/>
    <mergeCell ref="B35:E35"/>
    <mergeCell ref="B44:E4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  <dc:description/>
  <dc:language>en-US</dc:language>
  <cp:lastModifiedBy/>
  <dcterms:modified xsi:type="dcterms:W3CDTF">2026-09-03T23:32:15Z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